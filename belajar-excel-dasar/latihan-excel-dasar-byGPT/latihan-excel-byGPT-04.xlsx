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onovo\OneDrive\ドキュメント\belajar-excel\belajar-excel-dasar\latihan-excel-dasar-byGPT\"/>
    </mc:Choice>
  </mc:AlternateContent>
  <xr:revisionPtr revIDLastSave="0" documentId="13_ncr:1_{73AEA49D-DEBA-4523-A4AE-81FECD2C21C1}" xr6:coauthVersionLast="47" xr6:coauthVersionMax="47" xr10:uidLastSave="{00000000-0000-0000-0000-000000000000}"/>
  <bookViews>
    <workbookView xWindow="-108" yWindow="-108" windowWidth="23256" windowHeight="13176" xr2:uid="{3CF9A7EE-0486-4030-98D4-2665C328FF1D}"/>
  </bookViews>
  <sheets>
    <sheet name="pertemuan-byGPT-04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7" i="1" l="1"/>
  <c r="B18" i="1"/>
  <c r="B16" i="1"/>
  <c r="B15" i="1"/>
  <c r="B14" i="1"/>
  <c r="B13" i="1"/>
</calcChain>
</file>

<file path=xl/sharedStrings.xml><?xml version="1.0" encoding="utf-8"?>
<sst xmlns="http://schemas.openxmlformats.org/spreadsheetml/2006/main" count="40" uniqueCount="31">
  <si>
    <t>Hasil Ujian Akhir
Mahasiswa Teknik Informatika</t>
  </si>
  <si>
    <t>No</t>
  </si>
  <si>
    <t>Nama</t>
  </si>
  <si>
    <t>NIM</t>
  </si>
  <si>
    <t>Gender</t>
  </si>
  <si>
    <t>Semester</t>
  </si>
  <si>
    <t>Nilai</t>
  </si>
  <si>
    <t>Laki-laki</t>
  </si>
  <si>
    <t>Perempuan</t>
  </si>
  <si>
    <t>IV</t>
  </si>
  <si>
    <t>Keterangan</t>
  </si>
  <si>
    <t>Hasil</t>
  </si>
  <si>
    <t>Total Nilai</t>
  </si>
  <si>
    <t>Rata-rata Nilai</t>
  </si>
  <si>
    <t>Nilai Tertinggi</t>
  </si>
  <si>
    <t>Nilai Terendah</t>
  </si>
  <si>
    <t>Jumlah Mahasiswa</t>
  </si>
  <si>
    <t>Andry Hakim</t>
  </si>
  <si>
    <t>Budi Cahyo</t>
  </si>
  <si>
    <t>Citra Lestari</t>
  </si>
  <si>
    <t>Diandra Zahra</t>
  </si>
  <si>
    <t>Eko Kurniawan Khanedy</t>
  </si>
  <si>
    <t xml:space="preserve">Fitriani </t>
  </si>
  <si>
    <t>Jumlah Data Terisi (Kolom Nama)</t>
  </si>
  <si>
    <t>RUMUS</t>
  </si>
  <si>
    <t>SUM</t>
  </si>
  <si>
    <t>AVERAGE</t>
  </si>
  <si>
    <t>MAX</t>
  </si>
  <si>
    <t>MIN</t>
  </si>
  <si>
    <t>COUNT</t>
  </si>
  <si>
    <t>COUNTA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</si>
</sst>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1"/>
      <scheme val="minor"/>
    </font>
    <font>
      <b/>
      <sz val="11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3" borderId="0" xfId="0" applyFill="1" applyAlignment="1">
      <alignment horizontal="centerContinuous"/>
    </xf>
    <xf numFmtId="0" fontId="2" fillId="3" borderId="0" xfId="0" applyFont="1" applyFill="1" applyAlignment="1">
      <alignment horizontal="centerContinuous" wrapText="1"/>
    </xf>
    <xf numFmtId="0" fontId="3" fillId="0" borderId="1" xfId="0" applyFont="1" applyBorder="1"/>
    <xf numFmtId="0" fontId="3" fillId="0" borderId="1" xfId="0" applyFont="1" applyFill="1" applyBorder="1"/>
    <xf numFmtId="0" fontId="1" fillId="0" borderId="1" xfId="0" applyFont="1" applyBorder="1" applyAlignment="1">
      <alignment horizontal="center"/>
    </xf>
    <xf numFmtId="0" fontId="3" fillId="0" borderId="3" xfId="0" applyFont="1" applyBorder="1"/>
    <xf numFmtId="0" fontId="0" fillId="0" borderId="3" xfId="0" applyBorder="1" applyAlignment="1">
      <alignment horizontal="center"/>
    </xf>
    <xf numFmtId="0" fontId="0" fillId="0" borderId="3" xfId="0" applyBorder="1"/>
    <xf numFmtId="0" fontId="1" fillId="2" borderId="4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4" borderId="7" xfId="0" applyFont="1" applyFill="1" applyBorder="1" applyAlignment="1">
      <alignment horizontal="center"/>
    </xf>
    <xf numFmtId="0" fontId="1" fillId="0" borderId="8" xfId="0" applyFont="1" applyBorder="1" applyAlignment="1">
      <alignment horizontal="right"/>
    </xf>
    <xf numFmtId="0" fontId="1" fillId="0" borderId="9" xfId="0" applyFont="1" applyBorder="1" applyAlignment="1">
      <alignment horizontal="right"/>
    </xf>
    <xf numFmtId="0" fontId="1" fillId="5" borderId="9" xfId="0" applyFont="1" applyFill="1" applyBorder="1" applyAlignment="1">
      <alignment horizontal="right"/>
    </xf>
    <xf numFmtId="0" fontId="1" fillId="4" borderId="2" xfId="0" applyFont="1" applyFill="1" applyBorder="1" applyAlignment="1">
      <alignment horizontal="center"/>
    </xf>
  </cellXfs>
  <cellStyles count="1">
    <cellStyle name="Normal" xfId="0" builtinId="0"/>
  </cellStyles>
  <dxfs count="8"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ED4A9-A615-4532-A398-050F2E07AC3E}">
  <dimension ref="A1:F18"/>
  <sheetViews>
    <sheetView tabSelected="1" topLeftCell="A2" workbookViewId="0">
      <selection activeCell="G14" sqref="G14"/>
    </sheetView>
  </sheetViews>
  <sheetFormatPr defaultRowHeight="14.4" x14ac:dyDescent="0.3"/>
  <cols>
    <col min="1" max="1" width="28.33203125" bestFit="1" customWidth="1"/>
    <col min="2" max="2" width="20.5546875" bestFit="1" customWidth="1"/>
    <col min="3" max="3" width="9" bestFit="1" customWidth="1"/>
    <col min="4" max="4" width="10.21875" bestFit="1" customWidth="1"/>
    <col min="5" max="5" width="8.77734375" bestFit="1" customWidth="1"/>
    <col min="6" max="6" width="4.6640625" bestFit="1" customWidth="1"/>
  </cols>
  <sheetData>
    <row r="1" spans="1:6" ht="31.2" x14ac:dyDescent="0.3">
      <c r="A1" s="4" t="s">
        <v>0</v>
      </c>
      <c r="B1" s="3"/>
      <c r="C1" s="3"/>
      <c r="D1" s="3"/>
      <c r="E1" s="3"/>
      <c r="F1" s="3"/>
    </row>
    <row r="2" spans="1:6" ht="15" thickBot="1" x14ac:dyDescent="0.35"/>
    <row r="3" spans="1:6" ht="15" thickBot="1" x14ac:dyDescent="0.35">
      <c r="A3" s="11" t="s">
        <v>1</v>
      </c>
      <c r="B3" s="12" t="s">
        <v>2</v>
      </c>
      <c r="C3" s="12" t="s">
        <v>3</v>
      </c>
      <c r="D3" s="12" t="s">
        <v>4</v>
      </c>
      <c r="E3" s="12" t="s">
        <v>5</v>
      </c>
      <c r="F3" s="13" t="s">
        <v>6</v>
      </c>
    </row>
    <row r="4" spans="1:6" x14ac:dyDescent="0.3">
      <c r="A4" s="9">
        <v>1</v>
      </c>
      <c r="B4" s="10" t="s">
        <v>17</v>
      </c>
      <c r="C4" s="10">
        <v>12101001</v>
      </c>
      <c r="D4" s="10" t="s">
        <v>7</v>
      </c>
      <c r="E4" s="9" t="s">
        <v>9</v>
      </c>
      <c r="F4" s="14">
        <v>86</v>
      </c>
    </row>
    <row r="5" spans="1:6" x14ac:dyDescent="0.3">
      <c r="A5" s="2">
        <v>2</v>
      </c>
      <c r="B5" s="1" t="s">
        <v>18</v>
      </c>
      <c r="C5" s="1">
        <v>12101002</v>
      </c>
      <c r="D5" s="1" t="s">
        <v>7</v>
      </c>
      <c r="E5" s="2" t="s">
        <v>9</v>
      </c>
      <c r="F5" s="7">
        <v>84</v>
      </c>
    </row>
    <row r="6" spans="1:6" x14ac:dyDescent="0.3">
      <c r="A6" s="2">
        <v>3</v>
      </c>
      <c r="B6" s="1" t="s">
        <v>19</v>
      </c>
      <c r="C6" s="1">
        <v>12101003</v>
      </c>
      <c r="D6" s="1" t="s">
        <v>8</v>
      </c>
      <c r="E6" s="2" t="s">
        <v>9</v>
      </c>
      <c r="F6" s="7">
        <v>95</v>
      </c>
    </row>
    <row r="7" spans="1:6" x14ac:dyDescent="0.3">
      <c r="A7" s="2">
        <v>4</v>
      </c>
      <c r="B7" s="1" t="s">
        <v>20</v>
      </c>
      <c r="C7" s="1">
        <v>12101004</v>
      </c>
      <c r="D7" s="1" t="s">
        <v>8</v>
      </c>
      <c r="E7" s="2" t="s">
        <v>9</v>
      </c>
      <c r="F7" s="7">
        <v>94</v>
      </c>
    </row>
    <row r="8" spans="1:6" x14ac:dyDescent="0.3">
      <c r="A8" s="2">
        <v>5</v>
      </c>
      <c r="B8" s="1" t="s">
        <v>21</v>
      </c>
      <c r="C8" s="1">
        <v>12101005</v>
      </c>
      <c r="D8" s="1" t="s">
        <v>7</v>
      </c>
      <c r="E8" s="2" t="s">
        <v>9</v>
      </c>
      <c r="F8" s="7">
        <v>56</v>
      </c>
    </row>
    <row r="9" spans="1:6" x14ac:dyDescent="0.3">
      <c r="A9" s="2">
        <v>6</v>
      </c>
      <c r="B9" s="1" t="s">
        <v>22</v>
      </c>
      <c r="C9" s="1">
        <v>12101006</v>
      </c>
      <c r="D9" s="1" t="s">
        <v>8</v>
      </c>
      <c r="E9" s="2" t="s">
        <v>9</v>
      </c>
      <c r="F9" s="7">
        <v>92</v>
      </c>
    </row>
    <row r="11" spans="1:6" ht="15" thickBot="1" x14ac:dyDescent="0.35"/>
    <row r="12" spans="1:6" ht="15" thickBot="1" x14ac:dyDescent="0.35">
      <c r="A12" s="15" t="s">
        <v>10</v>
      </c>
      <c r="B12" s="16" t="s">
        <v>11</v>
      </c>
      <c r="C12" s="20" t="s">
        <v>24</v>
      </c>
    </row>
    <row r="13" spans="1:6" x14ac:dyDescent="0.3">
      <c r="A13" s="8" t="s">
        <v>12</v>
      </c>
      <c r="B13" s="17">
        <f>SUM(F4:F9)</f>
        <v>507</v>
      </c>
      <c r="C13" s="10" t="s">
        <v>25</v>
      </c>
    </row>
    <row r="14" spans="1:6" x14ac:dyDescent="0.3">
      <c r="A14" s="5" t="s">
        <v>13</v>
      </c>
      <c r="B14" s="18">
        <f>AVERAGE(F4:F9)</f>
        <v>84.5</v>
      </c>
      <c r="C14" s="1" t="s">
        <v>26</v>
      </c>
    </row>
    <row r="15" spans="1:6" x14ac:dyDescent="0.3">
      <c r="A15" s="5" t="s">
        <v>14</v>
      </c>
      <c r="B15" s="18">
        <f>MAX(F4:F9)</f>
        <v>95</v>
      </c>
      <c r="C15" s="1" t="s">
        <v>27</v>
      </c>
    </row>
    <row r="16" spans="1:6" x14ac:dyDescent="0.3">
      <c r="A16" s="5" t="s">
        <v>15</v>
      </c>
      <c r="B16" s="18">
        <f>MIN(F4:F9)</f>
        <v>56</v>
      </c>
      <c r="C16" s="1" t="s">
        <v>28</v>
      </c>
    </row>
    <row r="17" spans="1:3" x14ac:dyDescent="0.3">
      <c r="A17" s="5" t="s">
        <v>16</v>
      </c>
      <c r="B17" s="18">
        <f>COUNT(A4:A9)</f>
        <v>6</v>
      </c>
      <c r="C17" s="1" t="s">
        <v>29</v>
      </c>
    </row>
    <row r="18" spans="1:3" x14ac:dyDescent="0.3">
      <c r="A18" s="6" t="s">
        <v>23</v>
      </c>
      <c r="B18" s="19">
        <f>COUNTA(B4:B9)</f>
        <v>6</v>
      </c>
      <c r="C18" s="1" t="s">
        <v>30</v>
      </c>
    </row>
  </sheetData>
  <conditionalFormatting sqref="A4:F9 B12">
    <cfRule type="expression" dxfId="5" priority="3">
      <formula>ISODD(ROW())</formula>
    </cfRule>
  </conditionalFormatting>
  <conditionalFormatting sqref="A13:B17 A18">
    <cfRule type="expression" dxfId="4" priority="2">
      <formula>ISEVEN(ROW())</formula>
    </cfRule>
  </conditionalFormatting>
  <conditionalFormatting sqref="C13:C18">
    <cfRule type="expression" dxfId="3" priority="1">
      <formula>ISEVEN(ROW())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pertemuan-byGPT-04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Bayu Purwodani</dc:creator>
  <cp:lastModifiedBy>Bayu Purwodani</cp:lastModifiedBy>
  <dcterms:created xsi:type="dcterms:W3CDTF">2026-07-26T12:14:19Z</dcterms:created>
  <dcterms:modified xsi:type="dcterms:W3CDTF">2026-07-26T13:50:20Z</dcterms:modified>
</cp:coreProperties>
</file>